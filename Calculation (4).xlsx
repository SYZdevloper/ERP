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<sst xmlns="http://schemas.openxmlformats.org/spreadsheetml/2006/main" count="25" uniqueCount="17">
  <si>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Ratio</t>
  </si>
  <si>
    <t>S</t>
  </si>
  <si>
    <t>M</t>
  </si>
  <si>
    <t>L</t>
  </si>
  <si>
    <t>XL</t>
  </si>
  <si>
    <t>Meter</t>
  </si>
  <si>
    <t>Colour</t>
  </si>
  <si>
    <t>Length</t>
  </si>
  <si>
    <t>No of Layer</t>
  </si>
  <si>
    <t>Used Fabr</t>
  </si>
  <si>
    <t>Balance</t>
  </si>
  <si>
    <t>Average</t>
  </si>
  <si>
    <t>Yellow</t>
  </si>
  <si>
    <t>Yellow 102 Pcs</t>
  </si>
  <si>
    <t>Pink</t>
  </si>
  <si>
    <t>Pink 108 Pcs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</si>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</sst>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24" sqref="F24"/>
    </sheetView>
  </sheetViews>
  <sheetFormatPr defaultColWidth="9" defaultRowHeight="15"/>
  <cols>
    <col min="1" max="4" width="9.14285714285714" style="1"/>
    <col min="5" max="5" width="9.71428571428571" style="1" customWidth="1"/>
    <col min="6" max="16384" width="9.14285714285714" style="1"/>
  </cols>
  <sheetData>
    <row r="1" spans="1:11">
      <c r="C1" s="2" t="s">
        <v>0</v>
      </c>
      <c r="D1" s="3"/>
      <c r="E1" s="3"/>
      <c r="F1" s="4"/>
    </row>
    <row r="2" spans="1:11">
      <c r="C2" s="5" t="s">
        <v>1</v>
      </c>
      <c r="D2" s="6" t="s">
        <v>2</v>
      </c>
      <c r="E2" s="6" t="s">
        <v>3</v>
      </c>
      <c r="F2" s="7" t="s">
        <v>4</v>
      </c>
    </row>
    <row r="3" ht="15.75" spans="1:11">
      <c r="C3" s="8">
        <v>1</v>
      </c>
      <c r="D3" s="9">
        <v>2</v>
      </c>
      <c r="E3" s="9">
        <v>2</v>
      </c>
      <c r="F3" s="10">
        <v>1</v>
      </c>
      <c r="H3" s="11">
        <f>SUM(C3:G3)</f>
        <v>6</v>
      </c>
    </row>
    <row r="6" spans="1:11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K6" s="1" t="s">
        <v>11</v>
      </c>
    </row>
    <row r="7" spans="1:11">
      <c r="A7" s="1">
        <v>50</v>
      </c>
      <c r="B7" s="1" t="s">
        <v>12</v>
      </c>
      <c r="C7" s="1">
        <v>5</v>
      </c>
      <c r="D7" s="1">
        <v>8</v>
      </c>
      <c r="E7" s="11">
        <f>C7*D7</f>
        <v>40</v>
      </c>
      <c r="F7" s="11">
        <f>A7-E7</f>
        <v>10</v>
      </c>
      <c r="G7" s="12"/>
      <c r="H7" s="11">
        <f>D7*H3</f>
        <v>48</v>
      </c>
      <c r="I7" s="13" t="s">
        <v>13</v>
      </c>
    </row>
    <row r="8" spans="1:11">
      <c r="A8" s="1">
        <v>50</v>
      </c>
      <c r="B8" s="1" t="s">
        <v>12</v>
      </c>
      <c r="C8" s="1">
        <v>5</v>
      </c>
      <c r="D8" s="1">
        <v>9</v>
      </c>
      <c r="E8" s="11">
        <f t="shared" ref="E8:E10" si="0">C8*D8</f>
        <v>45</v>
      </c>
      <c r="F8" s="11">
        <f t="shared" ref="F8:F10" si="1">A8-E8</f>
        <v>5</v>
      </c>
      <c r="G8" s="12"/>
      <c r="H8" s="11">
        <f>D8*H3</f>
        <v>54</v>
      </c>
      <c r="I8" s="13"/>
      <c r="K8" s="11">
        <f>E12/H12</f>
        <v>0.833333333333333</v>
      </c>
    </row>
    <row r="9" spans="1:11">
      <c r="A9" s="1">
        <v>50</v>
      </c>
      <c r="B9" s="1" t="s">
        <v>14</v>
      </c>
      <c r="C9" s="1">
        <v>5</v>
      </c>
      <c r="D9" s="1">
        <v>9</v>
      </c>
      <c r="E9" s="11">
        <f t="shared" si="0"/>
        <v>45</v>
      </c>
      <c r="F9" s="11">
        <f t="shared" si="1"/>
        <v>5</v>
      </c>
      <c r="G9" s="12"/>
      <c r="H9" s="11">
        <f>D9*H3</f>
        <v>54</v>
      </c>
      <c r="I9" s="13" t="s">
        <v>15</v>
      </c>
    </row>
    <row r="10" spans="1:11">
      <c r="A10" s="1">
        <v>50</v>
      </c>
      <c r="B10" s="1" t="s">
        <v>14</v>
      </c>
      <c r="C10" s="1">
        <v>5</v>
      </c>
      <c r="D10" s="1">
        <v>9</v>
      </c>
      <c r="E10" s="11">
        <f t="shared" si="0"/>
        <v>45</v>
      </c>
      <c r="F10" s="11">
        <f t="shared" si="1"/>
        <v>5</v>
      </c>
      <c r="G10" s="12"/>
      <c r="H10" s="11">
        <f>D10*H3</f>
        <v>54</v>
      </c>
      <c r="I10" s="13"/>
    </row>
    <row r="12" spans="1:11">
      <c r="A12" s="11">
        <f>SUM(A7:A11)</f>
        <v>200</v>
      </c>
      <c r="E12" s="11">
        <f>SUM(E7:E11)</f>
        <v>175</v>
      </c>
      <c r="F12" s="11">
        <f>SUM(F7:F11)</f>
        <v>25</v>
      </c>
      <c r="G12" s="12"/>
      <c r="H12" s="11">
        <f>SUM(H7:H11)</f>
        <v>210</v>
      </c>
    </row>
    <row r="17" spans="2:8">
      <c r="C17" s="1" t="s">
        <v>16</v>
      </c>
      <c r="D17" s="1" t="s">
        <v>1</v>
      </c>
      <c r="E17" s="1" t="s">
        <v>2</v>
      </c>
      <c r="F17" s="1" t="s">
        <v>3</v>
      </c>
      <c r="G17" s="1" t="s">
        <v>4</v>
      </c>
    </row>
    <row r="18" spans="2:8">
      <c r="B18" s="11" t="s">
        <v>12</v>
      </c>
      <c r="C18" s="11">
        <f>H7+H8</f>
        <v>102</v>
      </c>
      <c r="D18" s="11">
        <f>C18*1/6</f>
        <v>17</v>
      </c>
      <c r="E18" s="11">
        <f>C18*2/6</f>
        <v>34</v>
      </c>
      <c r="F18" s="11">
        <f>C18*2/6</f>
        <v>34</v>
      </c>
      <c r="G18" s="11">
        <f>C18*1/6</f>
        <v>17</v>
      </c>
      <c r="H18" s="11">
        <f>SUM(D18:G18)</f>
        <v>102</v>
      </c>
    </row>
    <row r="19" spans="2:8">
      <c r="B19" s="12"/>
      <c r="C19" s="12"/>
      <c r="D19" s="12"/>
      <c r="E19" s="12"/>
      <c r="F19" s="12"/>
      <c r="G19" s="12"/>
      <c r="H19" s="12"/>
    </row>
    <row r="20" spans="2:8">
      <c r="B20" s="11" t="s">
        <v>14</v>
      </c>
      <c r="C20" s="11">
        <f>H9+H10</f>
        <v>108</v>
      </c>
      <c r="D20" s="11">
        <f t="shared" ref="D20" si="2">C20*1/6</f>
        <v>18</v>
      </c>
      <c r="E20" s="11">
        <f t="shared" ref="E20" si="3">C20*2/6</f>
        <v>36</v>
      </c>
      <c r="F20" s="11">
        <f t="shared" ref="F20" si="4">C20*2/6</f>
        <v>36</v>
      </c>
      <c r="G20" s="11">
        <f t="shared" ref="G20" si="5">C20*1/6</f>
        <v>18</v>
      </c>
      <c r="H20" s="11">
        <f>SUM(D20:G20)</f>
        <v>108</v>
      </c>
    </row>
    <row r="21" spans="2:8">
      <c r="B21" s="14"/>
      <c r="C21" s="14"/>
      <c r="D21" s="14"/>
      <c r="E21" s="14"/>
      <c r="F21" s="14"/>
      <c r="G21" s="14"/>
      <c r="H21" s="14"/>
    </row>
    <row r="22" spans="2:8">
      <c r="B22" s="12"/>
      <c r="C22" s="11">
        <f>SUM(C18:C21)</f>
        <v>210</v>
      </c>
      <c r="D22" s="12">
        <f>SUM(D18:D21)</f>
        <v>35</v>
      </c>
      <c r="E22" s="12">
        <f>SUM(E18:E21)</f>
        <v>70</v>
      </c>
      <c r="F22" s="12">
        <f>SUM(F18:F21)</f>
        <v>70</v>
      </c>
      <c r="G22" s="12">
        <f>SUM(G18:G21)</f>
        <v>35</v>
      </c>
      <c r="H22" s="12">
        <f>SUM(H18:H21)</f>
        <v>210</v>
      </c>
    </row>
  </sheetData>
  <mergeCells count="3">
    <mergeCell ref="C1:F1"/>
    <mergeCell ref="I7:I8"/>
    <mergeCell ref="I9:I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2026-07-06T13:16:00Z</dcterms:created>
  <dcterms:modified xsi:type="dcterms:W3CDTF">2026-07-06T13:49:08Z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C66619B56F874B55B9C1FA6D703625A1_12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